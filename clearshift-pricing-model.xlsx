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pplier Quote" sheetId="1" state="visible" r:id="rId3"/>
    <sheet name="2. Landed Cost Model" sheetId="2" state="visible" r:id="rId4"/>
    <sheet name="3. Trade Pricing &amp; Margins" sheetId="3" state="visible" r:id="rId5"/>
    <sheet name="4. Trade Quote Templa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<sst xmlns="http://schemas.openxmlformats.org/spreadsheetml/2006/main" count="174" uniqueCount="152">
  <si>
    <t xml:space="preserve">CLEARSHIFT — Supplier Proforma Invoice</t>
  </si>
  <si>
    <t xml:space="preserve">Shenzhen Coast Glass Co., Ltd.  ·  Contact: Green  ·  +86 18038043600  ·  green@coast-smartfilm.com  ·  www.coast-smartfilm.com</t>
  </si>
  <si>
    <t xml:space="preserve">Customer:</t>
  </si>
  <si>
    <t xml:space="preserve">Dalitso Mseteka</t>
  </si>
  <si>
    <t xml:space="preserve">Issue Date:</t>
  </si>
  <si>
    <t xml:space="preserve">01/06/2026</t>
  </si>
  <si>
    <t xml:space="preserve">Address:</t>
  </si>
  <si>
    <t xml:space="preserve">11 George Wienke Dr, Perth Airport WA 6105, Australia</t>
  </si>
  <si>
    <t xml:space="preserve">Invoice No.:</t>
  </si>
  <si>
    <t xml:space="preserve">PICE-GL20260601</t>
  </si>
  <si>
    <t xml:space="preserve">Payment Terms:</t>
  </si>
  <si>
    <t xml:space="preserve">T/T 100% in advance</t>
  </si>
  <si>
    <t xml:space="preserve">Delivery:</t>
  </si>
  <si>
    <t xml:space="preserve">CPT — China to Australia</t>
  </si>
  <si>
    <t xml:space="preserve">Lead Time:</t>
  </si>
  <si>
    <t xml:space="preserve">~10 days from payment confirmed</t>
  </si>
  <si>
    <t xml:space="preserve">Validity:</t>
  </si>
  <si>
    <t xml:space="preserve">7 days from issue date</t>
  </si>
  <si>
    <t xml:space="preserve">No.</t>
  </si>
  <si>
    <t xml:space="preserve">Product</t>
  </si>
  <si>
    <t xml:space="preserve">Description</t>
  </si>
  <si>
    <t xml:space="preserve">Length (m)</t>
  </si>
  <si>
    <t xml:space="preserve">Width (m)</t>
  </si>
  <si>
    <t xml:space="preserve">Unit Area (m²)</t>
  </si>
  <si>
    <t xml:space="preserve">Unit Price (USD)</t>
  </si>
  <si>
    <t xml:space="preserve">Qty</t>
  </si>
  <si>
    <t xml:space="preserve">Unit</t>
  </si>
  <si>
    <t xml:space="preserve">Total Area (m²)</t>
  </si>
  <si>
    <t xml:space="preserve">Line Total (USD)</t>
  </si>
  <si>
    <t xml:space="preserve">Notes</t>
  </si>
  <si>
    <t xml:space="preserve">Smart Film</t>
  </si>
  <si>
    <t xml:space="preserve">Self-adhesive PDLC
0.4mm · White · 88% LT
AC 48–65V</t>
  </si>
  <si>
    <t xml:space="preserve">Piece (PCS)</t>
  </si>
  <si>
    <t xml:space="preserve">Sample 1m²</t>
  </si>
  <si>
    <t xml:space="preserve">Power Controller 30W</t>
  </si>
  <si>
    <t xml:space="preserve">30W AC power controller</t>
  </si>
  <si>
    <t xml:space="preserve">RCM equivalent reqd AU</t>
  </si>
  <si>
    <t xml:space="preserve">High-temperature Wire</t>
  </si>
  <si>
    <t xml:space="preserve">Conductive copper wire</t>
  </si>
  <si>
    <t xml:space="preserve">Masking Tape</t>
  </si>
  <si>
    <t xml:space="preserve">Installation masking tape</t>
  </si>
  <si>
    <t xml:space="preserve">Roll</t>
  </si>
  <si>
    <t xml:space="preserve">Scraper</t>
  </si>
  <si>
    <t xml:space="preserve">PDLC film application scraper</t>
  </si>
  <si>
    <t xml:space="preserve">Complimentary</t>
  </si>
  <si>
    <t xml:space="preserve">Shipping</t>
  </si>
  <si>
    <t xml:space="preserve">Air freight (sample order)</t>
  </si>
  <si>
    <t xml:space="preserve">Bank Handling Fee</t>
  </si>
  <si>
    <t xml:space="preserve">TOTAL (USD)</t>
  </si>
  <si>
    <t xml:space="preserve">⚠  Note: This is a sample/single-unit quote. Bulk pricing will be lower — negotiate 30% deposit / 70% on shipping docs for orders over USD $2,000. Always test each batch before bulk order.</t>
  </si>
  <si>
    <t xml:space="preserve">CLEARSHIFT — Australian Landed Cost Calculator (Film per m²)</t>
  </si>
  <si>
    <t xml:space="preserve">Adjust yellow cells. All other cells calculate automatically.  |  Prices in AUD ex-GST unless noted.</t>
  </si>
  <si>
    <t xml:space="preserve">ASSUMPTIONS</t>
  </si>
  <si>
    <t xml:space="preserve">Value</t>
  </si>
  <si>
    <t xml:space="preserve">USD/AUD Exchange Rate</t>
  </si>
  <si>
    <t xml:space="preserve">1 USD = 1/0.64 AUD ≈ A$1.5625  |  Update to live rate before quoting</t>
  </si>
  <si>
    <t xml:space="preserve">Film cost per m² — Sample (USD)</t>
  </si>
  <si>
    <t xml:space="preserve">Supplier quote PICE-GL20260601. Bulk orders should achieve USD $28–35/m²</t>
  </si>
  <si>
    <t xml:space="preserve">Film cost per m² — Bulk est. (USD)</t>
  </si>
  <si>
    <t xml:space="preserve">Estimated bulk 80m²+ negotiated price. Confirm with supplier before use</t>
  </si>
  <si>
    <t xml:space="preserve">Air freight cost per order (USD)</t>
  </si>
  <si>
    <t xml:space="preserve">Supplier quote. Scales with weight — approx USD $6–9/kg air freight</t>
  </si>
  <si>
    <t xml:space="preserve">Order quantity for model (m²)</t>
  </si>
  <si>
    <t xml:space="preserve">Change this to model different order sizes</t>
  </si>
  <si>
    <t xml:space="preserve">Import duty rate on film</t>
  </si>
  <si>
    <t xml:space="preserve">5% duty on most polymer/PDLC film under AU tariff. Confirm with customs broker</t>
  </si>
  <si>
    <t xml:space="preserve">GST on imports</t>
  </si>
  <si>
    <t xml:space="preserve">10% GST applies to all imports. Reclaimable on BAS as input tax credit</t>
  </si>
  <si>
    <t xml:space="preserve">Customs broker fee (AUD per order)</t>
  </si>
  <si>
    <t xml:space="preserve">Approximate — get quotes from WiseTech, Cargo Wise, etc.</t>
  </si>
  <si>
    <t xml:space="preserve">Insurance (% of cargo value)</t>
  </si>
  <si>
    <t xml:space="preserve">~1% of CIF value. Adjust to your insurer's rate</t>
  </si>
  <si>
    <t xml:space="preserve">Wastage &amp; QC rejection allowance</t>
  </si>
  <si>
    <t xml:space="preserve">3% of m² allowance for defects found on bench test</t>
  </si>
  <si>
    <t xml:space="preserve">LANDED COST CALCULATION</t>
  </si>
  <si>
    <t xml:space="preserve">Sample (1 m²)</t>
  </si>
  <si>
    <t xml:space="preserve">Bulk (80 m²)</t>
  </si>
  <si>
    <t xml:space="preserve">Film cost (AUD)</t>
  </si>
  <si>
    <t xml:space="preserve">Film unit price ÷ exchange rate</t>
  </si>
  <si>
    <t xml:space="preserve">Freight per m² (AUD)</t>
  </si>
  <si>
    <t xml:space="preserve">Air freight cost amortised over order qty</t>
  </si>
  <si>
    <t xml:space="preserve">Import duty (AUD)</t>
  </si>
  <si>
    <t xml:space="preserve">5% on CIF value (film cost + freight)</t>
  </si>
  <si>
    <t xml:space="preserve">GST on import (AUD)</t>
  </si>
  <si>
    <t xml:space="preserve">10% on (value + duty). Reclaimable on BAS</t>
  </si>
  <si>
    <t xml:space="preserve">Customs broker per m² (AUD)</t>
  </si>
  <si>
    <t xml:space="preserve">Broker fee amortised over order qty</t>
  </si>
  <si>
    <t xml:space="preserve">Insurance per m² (AUD)</t>
  </si>
  <si>
    <t xml:space="preserve">~1% of cargo value</t>
  </si>
  <si>
    <t xml:space="preserve">Wastage allowance (AUD)</t>
  </si>
  <si>
    <t xml:space="preserve">3% allowance for defects/QC rejections</t>
  </si>
  <si>
    <t xml:space="preserve">TOTAL LANDED COST / m²</t>
  </si>
  <si>
    <t xml:space="preserve">← Target: A$55–65/m² for bulk orders (80m²+) per business plan</t>
  </si>
  <si>
    <t xml:space="preserve">CLEARSHIFT — Trade Pricing Tiers &amp; Margin Analysis</t>
  </si>
  <si>
    <t xml:space="preserve">Prices in AUD ex-GST  ·  Landed cost from Sheet 2  ·  Blue = input  ·  Black = formula</t>
  </si>
  <si>
    <t xml:space="preserve">Bulk landed cost / m² (from model):</t>
  </si>
  <si>
    <t xml:space="preserve">Controller + transformer landed cost (AUD):</t>
  </si>
  <si>
    <t xml:space="preserve">Connection kit landed cost (AUD):</t>
  </si>
  <si>
    <t xml:space="preserve">SKU / Line Item</t>
  </si>
  <si>
    <t xml:space="preserve">Tier 1 — Casual</t>
  </si>
  <si>
    <t xml:space="preserve">Tier 2 — Trade</t>
  </si>
  <si>
    <t xml:space="preserve">Tier 3 — Account</t>
  </si>
  <si>
    <t xml:space="preserve">Trade Price</t>
  </si>
  <si>
    <t xml:space="preserve">Margin %</t>
  </si>
  <si>
    <t xml:space="preserve">Film — 1 to 10 m²</t>
  </si>
  <si>
    <t xml:space="preserve">N/A</t>
  </si>
  <si>
    <t xml:space="preserve">Per m². Min 1m² order.</t>
  </si>
  <si>
    <t xml:space="preserve">Film — 10 to 30 m²</t>
  </si>
  <si>
    <t xml:space="preserve">Film — 30 m²+ (full roll)</t>
  </si>
  <si>
    <t xml:space="preserve">Controller + transformer</t>
  </si>
  <si>
    <t xml:space="preserve">Per unit.</t>
  </si>
  <si>
    <t xml:space="preserve">Connection kit</t>
  </si>
  <si>
    <t xml:space="preserve">ROLL SALE SCENARIO (30 m² full roll, Tier 2, no controller)</t>
  </si>
  <si>
    <t xml:space="preserve">Sale to trade (30 m² × $180)</t>
  </si>
  <si>
    <t xml:space="preserve">Film cost (30 m² × landed)</t>
  </si>
  <si>
    <t xml:space="preserve">Delivery (estimate)</t>
  </si>
  <si>
    <t xml:space="preserve">Gross profit</t>
  </si>
  <si>
    <t xml:space="preserve">Gross margin %</t>
  </si>
  <si>
    <t xml:space="preserve">CLEARSHIFT SMART FILM CO.</t>
  </si>
  <si>
    <t xml:space="preserve">Trade Price Quotation</t>
  </si>
  <si>
    <t xml:space="preserve">Quote No.</t>
  </si>
  <si>
    <t xml:space="preserve">CS-QUOTE-001</t>
  </si>
  <si>
    <t xml:space="preserve">Date:</t>
  </si>
  <si>
    <t xml:space="preserve">Valid Until:</t>
  </si>
  <si>
    <t xml:space="preserve">ABN:</t>
  </si>
  <si>
    <t xml:space="preserve">Tier:</t>
  </si>
  <si>
    <t xml:space="preserve">Contact:</t>
  </si>
  <si>
    <t xml:space="preserve">Payment:</t>
  </si>
  <si>
    <t xml:space="preserve">Prepaid — Stripe or bank transfer</t>
  </si>
  <si>
    <t xml:space="preserve">Phone:</t>
  </si>
  <si>
    <t xml:space="preserve">7–14 business days to your site</t>
  </si>
  <si>
    <t xml:space="preserve">#</t>
  </si>
  <si>
    <t xml:space="preserve">Application / Location</t>
  </si>
  <si>
    <t xml:space="preserve">Height (m)</t>
  </si>
  <si>
    <t xml:space="preserve">Area (m²)</t>
  </si>
  <si>
    <t xml:space="preserve">Unit Price (A$)</t>
  </si>
  <si>
    <t xml:space="preserve">Line Total (A$)</t>
  </si>
  <si>
    <t xml:space="preserve">Film Subtotal:</t>
  </si>
  <si>
    <t xml:space="preserve">Controllers + transformers:</t>
  </si>
  <si>
    <t xml:space="preserve">units @</t>
  </si>
  <si>
    <t xml:space="preserve">Connection kits:</t>
  </si>
  <si>
    <t xml:space="preserve">TOTAL (AUD ex GST):</t>
  </si>
  <si>
    <t xml:space="preserve">+ GST (10%):</t>
  </si>
  <si>
    <t xml:space="preserve">TOTAL INC GST:</t>
  </si>
  <si>
    <t xml:space="preserve">Terms &amp; Conditions</t>
  </si>
  <si>
    <t xml:space="preserve">• All prices in AUD ex GST. Quote valid 14 days from issue date.</t>
  </si>
  <si>
    <t xml:space="preserve">• Payment: prepaid (Tier 1) — Stripe, bank transfer, or PayID. No credit terms until 6 months active account.</t>
  </si>
  <si>
    <t xml:space="preserve">• Smart film is a 60V AC product. Mains connection must be performed by a licensed electrician under AS/NZS 3000.</t>
  </si>
  <si>
    <t xml:space="preserve">• All controllers and transformers carry RCM mark (Australian compliance). Serial numbers recorded.</t>
  </si>
  <si>
    <t xml:space="preserve">• Film warranty: 5 years. Controller/transformer warranty: 2 years from dispatch date.</t>
  </si>
  <si>
    <t xml:space="preserve">• Bench-test before installation. Defect claims accepted within 7 days of delivery with photo evidence.</t>
  </si>
  <si>
    <t xml:space="preserve">• Clearshift Smart Film Co. Pty Ltd · ABN XX XXX XXX XXX · trade@clearshift.com.au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</si>
</sst>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\$#,##0.00_);&quot;($&quot;#,##0.00\)"/>
    <numFmt numFmtId="167" formatCode="0.0%"/>
    <numFmt numFmtId="168" formatCode="&quot;A$&quot;#,##0.00_);&quot;(A$&quot;#,##0.00\)"/>
    <numFmt numFmtId="169" formatCode="&quot;A$&quot;#,##0_);&quot;(A$&quot;#,##0\)"/>
    <numFmt numFmtId="170" formatCode="dd/mm/yyyy"/>
    <numFmt numFmtId="171" formatCode="0.00"/>
    <numFmt numFmtId="172" formatCode="0"/>
    <numFmt numFmtId="173" formatCode="&quot;A$&quot;#,##0_);&quot;(A$&quot;#,##0\)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B89A6A"/>
      <name val="Arial"/>
      <family val="0"/>
      <charset val="1"/>
    </font>
    <font>
      <b val="true"/>
      <sz val="9"/>
      <color rgb="FF5A6677"/>
      <name val="Arial"/>
      <family val="0"/>
      <charset val="1"/>
    </font>
    <font>
      <sz val="9"/>
      <color rgb="FF1A2B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2B3F"/>
      <name val="Arial"/>
      <family val="0"/>
      <charset val="1"/>
    </font>
    <font>
      <sz val="10"/>
      <color rgb="FF5A667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D4B988"/>
      <name val="Arial"/>
      <family val="0"/>
      <charset val="1"/>
    </font>
    <font>
      <i val="true"/>
      <sz val="9"/>
      <color rgb="FF8B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2B3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5A6677"/>
      <name val="Arial"/>
      <family val="0"/>
      <charset val="1"/>
    </font>
    <font>
      <b val="true"/>
      <sz val="10"/>
      <color rgb="FFD4B9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B89A6A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D4B988"/>
      <name val="Arial"/>
      <family val="0"/>
      <charset val="1"/>
    </font>
    <font>
      <sz val="9"/>
      <color rgb="FF5A6677"/>
      <name val="Arial"/>
      <family val="0"/>
      <charset val="1"/>
    </font>
    <font>
      <sz val="8"/>
      <color rgb="FF5A6677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D4B988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4"/>
      <color rgb="FFD4B988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E1A2A"/>
        <bgColor rgb="FF1A2B3F"/>
      </patternFill>
    </fill>
    <fill>
      <patternFill patternType="solid">
        <fgColor rgb="FF1A2B3F"/>
        <bgColor rgb="FF0E1A2A"/>
      </patternFill>
    </fill>
    <fill>
      <patternFill patternType="solid">
        <fgColor rgb="FFFFF8F0"/>
        <bgColor rgb="FFFAFAF8"/>
      </patternFill>
    </fill>
    <fill>
      <patternFill patternType="solid">
        <fgColor rgb="FFFFFF00"/>
        <bgColor rgb="FFFFFF00"/>
      </patternFill>
    </fill>
    <fill>
      <patternFill patternType="solid">
        <fgColor rgb="FFFAFAF8"/>
        <bgColor rgb="FFFFF8F0"/>
      </patternFill>
    </fill>
    <fill>
      <patternFill patternType="solid">
        <fgColor rgb="FFB89A6A"/>
        <bgColor rgb="FFD4B98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3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F0"/>
      <rgbColor rgb="FFFAF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4B988"/>
      <rgbColor rgb="FF3366FF"/>
      <rgbColor rgb="FF33CCCC"/>
      <rgbColor rgb="FF99CC00"/>
      <rgbColor rgb="FFFFCC00"/>
      <rgbColor rgb="FFFF9900"/>
      <rgbColor rgb="FFFF6600"/>
      <rgbColor rgb="FF5A6677"/>
      <rgbColor rgb="FFB89A6A"/>
      <rgbColor rgb="FF003366"/>
      <rgbColor rgb="FF339966"/>
      <rgbColor rgb="FF0E1A2A"/>
      <rgbColor rgb="FF333300"/>
      <rgbColor rgb="FF993300"/>
      <rgbColor rgb="FF993366"/>
      <rgbColor rgb="FF333399"/>
      <rgbColor rgb="FF1A2B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5" min="4" style="1" width="11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8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2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.75" hidden="false" customHeight="true" outlineLevel="0" collapsed="false">
      <c r="A4" s="4" t="s">
        <v>2</v>
      </c>
      <c r="B4" s="5" t="s">
        <v>3</v>
      </c>
      <c r="G4" s="4" t="s">
        <v>4</v>
      </c>
      <c r="H4" s="5" t="s">
        <v>5</v>
      </c>
    </row>
    <row r="5" customFormat="false" ht="15.75" hidden="false" customHeight="true" outlineLevel="0" collapsed="false">
      <c r="A5" s="4" t="s">
        <v>6</v>
      </c>
      <c r="B5" s="5" t="s">
        <v>7</v>
      </c>
      <c r="G5" s="4" t="s">
        <v>8</v>
      </c>
      <c r="H5" s="5" t="s">
        <v>9</v>
      </c>
    </row>
    <row r="6" customFormat="false" ht="32.25" hidden="false" customHeight="true" outlineLevel="0" collapsed="false">
      <c r="G6" s="4" t="s">
        <v>10</v>
      </c>
      <c r="H6" s="5" t="s">
        <v>11</v>
      </c>
    </row>
    <row r="7" customFormat="false" ht="32.25" hidden="false" customHeight="true" outlineLevel="0" collapsed="false">
      <c r="G7" s="4" t="s">
        <v>12</v>
      </c>
      <c r="H7" s="5" t="s">
        <v>13</v>
      </c>
    </row>
    <row r="8" customFormat="false" ht="42.75" hidden="false" customHeight="true" outlineLevel="0" collapsed="false">
      <c r="G8" s="4" t="s">
        <v>14</v>
      </c>
      <c r="H8" s="5" t="s">
        <v>15</v>
      </c>
    </row>
    <row r="9" customFormat="false" ht="42.75" hidden="false" customHeight="true" outlineLevel="0" collapsed="false">
      <c r="G9" s="4" t="s">
        <v>16</v>
      </c>
      <c r="H9" s="5" t="s">
        <v>17</v>
      </c>
    </row>
    <row r="11" customFormat="false" ht="31.5" hidden="false" customHeight="true" outlineLevel="0" collapsed="false">
      <c r="A11" s="6" t="s">
        <v>18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24</v>
      </c>
      <c r="H11" s="6" t="s">
        <v>25</v>
      </c>
      <c r="I11" s="6" t="s">
        <v>26</v>
      </c>
      <c r="J11" s="6" t="s">
        <v>27</v>
      </c>
      <c r="K11" s="6" t="s">
        <v>28</v>
      </c>
      <c r="L11" s="6" t="s">
        <v>29</v>
      </c>
    </row>
    <row r="12" customFormat="false" ht="39.75" hidden="false" customHeight="true" outlineLevel="0" collapsed="false">
      <c r="A12" s="7" t="n">
        <v>1</v>
      </c>
      <c r="B12" s="8" t="s">
        <v>30</v>
      </c>
      <c r="C12" s="9" t="s">
        <v>31</v>
      </c>
      <c r="D12" s="10" t="n">
        <v>1</v>
      </c>
      <c r="E12" s="10" t="n">
        <v>1</v>
      </c>
      <c r="F12" s="11" t="n">
        <f aca="false">D12*E12</f>
        <v>1</v>
      </c>
      <c r="G12" s="12" t="n">
        <v>43</v>
      </c>
      <c r="H12" s="7" t="n">
        <v>1</v>
      </c>
      <c r="I12" s="13" t="s">
        <v>32</v>
      </c>
      <c r="J12" s="11" t="n">
        <f aca="false">F12*H12</f>
        <v>1</v>
      </c>
      <c r="K12" s="14" t="n">
        <f aca="false">G12*J12</f>
        <v>43</v>
      </c>
      <c r="L12" s="9" t="s">
        <v>33</v>
      </c>
    </row>
    <row r="13" customFormat="false" ht="39.75" hidden="false" customHeight="true" outlineLevel="0" collapsed="false">
      <c r="A13" s="7" t="n">
        <v>2</v>
      </c>
      <c r="B13" s="8" t="s">
        <v>34</v>
      </c>
      <c r="C13" s="9" t="s">
        <v>35</v>
      </c>
      <c r="D13" s="10"/>
      <c r="E13" s="10"/>
      <c r="F13" s="10"/>
      <c r="G13" s="12" t="n">
        <v>28</v>
      </c>
      <c r="H13" s="7" t="n">
        <v>1</v>
      </c>
      <c r="I13" s="13" t="s">
        <v>32</v>
      </c>
      <c r="J13" s="10"/>
      <c r="K13" s="14" t="n">
        <f aca="false">G13*H13</f>
        <v>28</v>
      </c>
      <c r="L13" s="9" t="s">
        <v>36</v>
      </c>
    </row>
    <row r="14" customFormat="false" ht="39.75" hidden="false" customHeight="true" outlineLevel="0" collapsed="false">
      <c r="A14" s="7" t="n">
        <v>3</v>
      </c>
      <c r="B14" s="8" t="s">
        <v>37</v>
      </c>
      <c r="C14" s="9" t="s">
        <v>38</v>
      </c>
      <c r="D14" s="10"/>
      <c r="E14" s="10"/>
      <c r="F14" s="10"/>
      <c r="G14" s="12" t="n">
        <v>6</v>
      </c>
      <c r="H14" s="7" t="n">
        <v>1</v>
      </c>
      <c r="I14" s="13" t="s">
        <v>32</v>
      </c>
      <c r="J14" s="10"/>
      <c r="K14" s="14" t="n">
        <f aca="false">G14*H14</f>
        <v>6</v>
      </c>
      <c r="L14" s="9"/>
    </row>
    <row r="15" customFormat="false" ht="39.75" hidden="false" customHeight="true" outlineLevel="0" collapsed="false">
      <c r="A15" s="7" t="n">
        <v>4</v>
      </c>
      <c r="B15" s="8" t="s">
        <v>39</v>
      </c>
      <c r="C15" s="9" t="s">
        <v>40</v>
      </c>
      <c r="D15" s="10"/>
      <c r="E15" s="10"/>
      <c r="F15" s="10"/>
      <c r="G15" s="12" t="n">
        <v>0.5</v>
      </c>
      <c r="H15" s="7" t="n">
        <v>1</v>
      </c>
      <c r="I15" s="13" t="s">
        <v>41</v>
      </c>
      <c r="J15" s="10"/>
      <c r="K15" s="14" t="n">
        <f aca="false">G15*H15</f>
        <v>0.5</v>
      </c>
      <c r="L15" s="9"/>
    </row>
    <row r="16" customFormat="false" ht="39.75" hidden="false" customHeight="true" outlineLevel="0" collapsed="false">
      <c r="A16" s="7" t="n">
        <v>5</v>
      </c>
      <c r="B16" s="8" t="s">
        <v>42</v>
      </c>
      <c r="C16" s="9" t="s">
        <v>43</v>
      </c>
      <c r="D16" s="10"/>
      <c r="E16" s="10"/>
      <c r="F16" s="10"/>
      <c r="G16" s="12" t="n">
        <v>0</v>
      </c>
      <c r="H16" s="7" t="n">
        <v>1</v>
      </c>
      <c r="I16" s="13" t="s">
        <v>32</v>
      </c>
      <c r="J16" s="10"/>
      <c r="K16" s="14" t="n">
        <v>0</v>
      </c>
      <c r="L16" s="9" t="s">
        <v>44</v>
      </c>
    </row>
    <row r="18" customFormat="false" ht="15" hidden="false" customHeight="true" outlineLevel="0" collapsed="false">
      <c r="A18" s="13" t="s">
        <v>45</v>
      </c>
      <c r="B18" s="13"/>
      <c r="C18" s="13"/>
      <c r="D18" s="13"/>
      <c r="E18" s="13"/>
      <c r="F18" s="13"/>
      <c r="G18" s="13"/>
      <c r="H18" s="13"/>
      <c r="I18" s="13"/>
      <c r="J18" s="13"/>
      <c r="K18" s="12" t="n">
        <v>210</v>
      </c>
      <c r="L18" s="9" t="s">
        <v>46</v>
      </c>
    </row>
    <row r="19" customFormat="false" ht="15" hidden="false" customHeight="true" outlineLevel="0" collapsed="false">
      <c r="A19" s="13" t="s">
        <v>47</v>
      </c>
      <c r="B19" s="13"/>
      <c r="C19" s="13"/>
      <c r="D19" s="13"/>
      <c r="E19" s="13"/>
      <c r="F19" s="13"/>
      <c r="G19" s="13"/>
      <c r="H19" s="13"/>
      <c r="I19" s="13"/>
      <c r="J19" s="13"/>
      <c r="K19" s="12" t="n">
        <v>6</v>
      </c>
    </row>
    <row r="21" customFormat="false" ht="27.75" hidden="false" customHeight="true" outlineLevel="0" collapsed="false">
      <c r="A21" s="15" t="s">
        <v>48</v>
      </c>
      <c r="B21" s="15"/>
      <c r="C21" s="15"/>
      <c r="D21" s="15"/>
      <c r="E21" s="15"/>
      <c r="F21" s="15"/>
      <c r="G21" s="15"/>
      <c r="H21" s="15"/>
      <c r="I21" s="15"/>
      <c r="J21" s="15"/>
      <c r="K21" s="16" t="n">
        <f aca="false">SUM(K12:K19)</f>
        <v>293.5</v>
      </c>
    </row>
    <row r="23" customFormat="false" ht="15" hidden="false" customHeight="true" outlineLevel="0" collapsed="false">
      <c r="A23" s="17" t="s">
        <v>49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</sheetData>
  <mergeCells count="6">
    <mergeCell ref="A1:L1"/>
    <mergeCell ref="A2:L2"/>
    <mergeCell ref="A18:J18"/>
    <mergeCell ref="A19:J19"/>
    <mergeCell ref="A21:J21"/>
    <mergeCell ref="A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5"/>
    <col collapsed="false" customWidth="true" hidden="false" outlineLevel="0" max="5" min="4" style="1" width="18"/>
    <col collapsed="false" customWidth="true" hidden="false" outlineLevel="0" max="6" min="6" style="1" width="40"/>
  </cols>
  <sheetData>
    <row r="1" customFormat="false" ht="31.5" hidden="false" customHeight="true" outlineLevel="0" collapsed="false">
      <c r="A1" s="2" t="s">
        <v>50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51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18" t="s">
        <v>52</v>
      </c>
      <c r="B4" s="18"/>
      <c r="C4" s="18"/>
      <c r="D4" s="18" t="s">
        <v>53</v>
      </c>
      <c r="E4" s="18" t="s">
        <v>29</v>
      </c>
      <c r="F4" s="18"/>
      <c r="G4" s="18"/>
      <c r="H4" s="18"/>
      <c r="I4" s="18"/>
    </row>
    <row r="5" customFormat="false" ht="19.5" hidden="false" customHeight="true" outlineLevel="0" collapsed="false">
      <c r="A5" s="19" t="s">
        <v>54</v>
      </c>
      <c r="B5" s="19"/>
      <c r="C5" s="19"/>
      <c r="D5" s="20" t="n">
        <v>0.64</v>
      </c>
      <c r="E5" s="21" t="s">
        <v>55</v>
      </c>
      <c r="F5" s="21"/>
      <c r="G5" s="21"/>
      <c r="H5" s="21"/>
      <c r="I5" s="21"/>
    </row>
    <row r="6" customFormat="false" ht="19.5" hidden="false" customHeight="true" outlineLevel="0" collapsed="false">
      <c r="A6" s="19" t="s">
        <v>56</v>
      </c>
      <c r="B6" s="19"/>
      <c r="C6" s="19"/>
      <c r="D6" s="22" t="n">
        <v>43</v>
      </c>
      <c r="E6" s="21" t="s">
        <v>57</v>
      </c>
      <c r="F6" s="21"/>
      <c r="G6" s="21"/>
      <c r="H6" s="21"/>
      <c r="I6" s="21"/>
    </row>
    <row r="7" customFormat="false" ht="19.5" hidden="false" customHeight="true" outlineLevel="0" collapsed="false">
      <c r="A7" s="19" t="s">
        <v>58</v>
      </c>
      <c r="B7" s="19"/>
      <c r="C7" s="19"/>
      <c r="D7" s="22" t="n">
        <v>32</v>
      </c>
      <c r="E7" s="21" t="s">
        <v>59</v>
      </c>
      <c r="F7" s="21"/>
      <c r="G7" s="21"/>
      <c r="H7" s="21"/>
      <c r="I7" s="21"/>
    </row>
    <row r="8" customFormat="false" ht="19.5" hidden="false" customHeight="true" outlineLevel="0" collapsed="false">
      <c r="A8" s="19" t="s">
        <v>60</v>
      </c>
      <c r="B8" s="19"/>
      <c r="C8" s="19"/>
      <c r="D8" s="22" t="n">
        <v>210</v>
      </c>
      <c r="E8" s="21" t="s">
        <v>61</v>
      </c>
      <c r="F8" s="21"/>
      <c r="G8" s="21"/>
      <c r="H8" s="21"/>
      <c r="I8" s="21"/>
    </row>
    <row r="9" customFormat="false" ht="19.5" hidden="false" customHeight="true" outlineLevel="0" collapsed="false">
      <c r="A9" s="19" t="s">
        <v>62</v>
      </c>
      <c r="B9" s="19"/>
      <c r="C9" s="19"/>
      <c r="D9" s="23" t="n">
        <v>80</v>
      </c>
      <c r="E9" s="21" t="s">
        <v>63</v>
      </c>
      <c r="F9" s="21"/>
      <c r="G9" s="21"/>
      <c r="H9" s="21"/>
      <c r="I9" s="21"/>
    </row>
    <row r="10" customFormat="false" ht="19.5" hidden="false" customHeight="true" outlineLevel="0" collapsed="false">
      <c r="A10" s="19" t="s">
        <v>64</v>
      </c>
      <c r="B10" s="19"/>
      <c r="C10" s="19"/>
      <c r="D10" s="24" t="n">
        <v>0.05</v>
      </c>
      <c r="E10" s="21" t="s">
        <v>65</v>
      </c>
      <c r="F10" s="21"/>
      <c r="G10" s="21"/>
      <c r="H10" s="21"/>
      <c r="I10" s="21"/>
    </row>
    <row r="11" customFormat="false" ht="19.5" hidden="false" customHeight="true" outlineLevel="0" collapsed="false">
      <c r="A11" s="19" t="s">
        <v>66</v>
      </c>
      <c r="B11" s="19"/>
      <c r="C11" s="19"/>
      <c r="D11" s="24" t="n">
        <v>0.1</v>
      </c>
      <c r="E11" s="21" t="s">
        <v>67</v>
      </c>
      <c r="F11" s="21"/>
      <c r="G11" s="21"/>
      <c r="H11" s="21"/>
      <c r="I11" s="21"/>
    </row>
    <row r="12" customFormat="false" ht="19.5" hidden="false" customHeight="true" outlineLevel="0" collapsed="false">
      <c r="A12" s="19" t="s">
        <v>68</v>
      </c>
      <c r="B12" s="19"/>
      <c r="C12" s="19"/>
      <c r="D12" s="25" t="n">
        <v>250</v>
      </c>
      <c r="E12" s="21" t="s">
        <v>69</v>
      </c>
      <c r="F12" s="21"/>
      <c r="G12" s="21"/>
      <c r="H12" s="21"/>
      <c r="I12" s="21"/>
    </row>
    <row r="13" customFormat="false" ht="19.5" hidden="false" customHeight="true" outlineLevel="0" collapsed="false">
      <c r="A13" s="19" t="s">
        <v>70</v>
      </c>
      <c r="B13" s="19"/>
      <c r="C13" s="19"/>
      <c r="D13" s="24" t="n">
        <v>0.01</v>
      </c>
      <c r="E13" s="21" t="s">
        <v>71</v>
      </c>
      <c r="F13" s="21"/>
      <c r="G13" s="21"/>
      <c r="H13" s="21"/>
      <c r="I13" s="21"/>
    </row>
    <row r="14" customFormat="false" ht="19.5" hidden="false" customHeight="true" outlineLevel="0" collapsed="false">
      <c r="A14" s="19" t="s">
        <v>72</v>
      </c>
      <c r="B14" s="19"/>
      <c r="C14" s="19"/>
      <c r="D14" s="24" t="n">
        <v>0.03</v>
      </c>
      <c r="E14" s="21" t="s">
        <v>73</v>
      </c>
      <c r="F14" s="21"/>
      <c r="G14" s="21"/>
      <c r="H14" s="21"/>
      <c r="I14" s="21"/>
    </row>
    <row r="16" customFormat="false" ht="7.5" hidden="false" customHeight="true" outlineLevel="0" collapsed="false"/>
    <row r="17" customFormat="false" ht="24" hidden="false" customHeight="true" outlineLevel="0" collapsed="false">
      <c r="A17" s="15" t="s">
        <v>74</v>
      </c>
      <c r="B17" s="15"/>
      <c r="C17" s="15"/>
      <c r="D17" s="26" t="s">
        <v>75</v>
      </c>
      <c r="E17" s="26" t="s">
        <v>76</v>
      </c>
      <c r="F17" s="27" t="s">
        <v>29</v>
      </c>
      <c r="G17" s="27"/>
      <c r="H17" s="27"/>
      <c r="I17" s="27"/>
    </row>
    <row r="18" customFormat="false" ht="19.5" hidden="false" customHeight="true" outlineLevel="0" collapsed="false">
      <c r="A18" s="28" t="s">
        <v>77</v>
      </c>
      <c r="B18" s="28"/>
      <c r="C18" s="28"/>
      <c r="D18" s="29" t="n">
        <f aca="false">D6/D5</f>
        <v>67.1875</v>
      </c>
      <c r="E18" s="29" t="n">
        <f aca="false">D7/D5</f>
        <v>50</v>
      </c>
      <c r="F18" s="21" t="s">
        <v>78</v>
      </c>
      <c r="G18" s="21"/>
      <c r="H18" s="21"/>
      <c r="I18" s="21"/>
    </row>
    <row r="19" customFormat="false" ht="19.5" hidden="false" customHeight="true" outlineLevel="0" collapsed="false">
      <c r="A19" s="28" t="s">
        <v>79</v>
      </c>
      <c r="B19" s="28"/>
      <c r="C19" s="28"/>
      <c r="D19" s="29" t="n">
        <f aca="false">(D8/D5)/1</f>
        <v>328.125</v>
      </c>
      <c r="E19" s="29" t="n">
        <f aca="false">(D8/D5)/D9</f>
        <v>4.1015625</v>
      </c>
      <c r="F19" s="21" t="s">
        <v>80</v>
      </c>
      <c r="G19" s="21"/>
      <c r="H19" s="21"/>
      <c r="I19" s="21"/>
    </row>
    <row r="20" customFormat="false" ht="19.5" hidden="false" customHeight="true" outlineLevel="0" collapsed="false">
      <c r="A20" s="28" t="s">
        <v>81</v>
      </c>
      <c r="B20" s="28"/>
      <c r="C20" s="28"/>
      <c r="D20" s="29" t="n">
        <f aca="false">D18*D10</f>
        <v>3.359375</v>
      </c>
      <c r="E20" s="29" t="n">
        <f aca="false">E18*D10</f>
        <v>2.5</v>
      </c>
      <c r="F20" s="21" t="s">
        <v>82</v>
      </c>
      <c r="G20" s="21"/>
      <c r="H20" s="21"/>
      <c r="I20" s="21"/>
    </row>
    <row r="21" customFormat="false" ht="19.5" hidden="false" customHeight="true" outlineLevel="0" collapsed="false">
      <c r="A21" s="28" t="s">
        <v>83</v>
      </c>
      <c r="B21" s="28"/>
      <c r="C21" s="28"/>
      <c r="D21" s="29" t="n">
        <f aca="false">(D18+D19+D20)*D11</f>
        <v>39.8671875</v>
      </c>
      <c r="E21" s="29" t="n">
        <f aca="false">(E18+E19+E20)*D11</f>
        <v>5.66015625</v>
      </c>
      <c r="F21" s="21" t="s">
        <v>84</v>
      </c>
      <c r="G21" s="21"/>
      <c r="H21" s="21"/>
      <c r="I21" s="21"/>
    </row>
    <row r="22" customFormat="false" ht="19.5" hidden="false" customHeight="true" outlineLevel="0" collapsed="false">
      <c r="A22" s="28" t="s">
        <v>85</v>
      </c>
      <c r="B22" s="28"/>
      <c r="C22" s="28"/>
      <c r="D22" s="29" t="n">
        <f aca="false">D12/1</f>
        <v>250</v>
      </c>
      <c r="E22" s="29" t="n">
        <f aca="false">D12/D9</f>
        <v>3.125</v>
      </c>
      <c r="F22" s="21" t="s">
        <v>86</v>
      </c>
      <c r="G22" s="21"/>
      <c r="H22" s="21"/>
      <c r="I22" s="21"/>
    </row>
    <row r="23" customFormat="false" ht="19.5" hidden="false" customHeight="true" outlineLevel="0" collapsed="false">
      <c r="A23" s="28" t="s">
        <v>87</v>
      </c>
      <c r="B23" s="28"/>
      <c r="C23" s="28"/>
      <c r="D23" s="29" t="n">
        <f aca="false">D18*D13</f>
        <v>0.671875</v>
      </c>
      <c r="E23" s="29" t="n">
        <f aca="false">E18*D13</f>
        <v>0.5</v>
      </c>
      <c r="F23" s="21" t="s">
        <v>88</v>
      </c>
      <c r="G23" s="21"/>
      <c r="H23" s="21"/>
      <c r="I23" s="21"/>
    </row>
    <row r="24" customFormat="false" ht="19.5" hidden="false" customHeight="true" outlineLevel="0" collapsed="false">
      <c r="A24" s="28" t="s">
        <v>89</v>
      </c>
      <c r="B24" s="28"/>
      <c r="C24" s="28"/>
      <c r="D24" s="29" t="n">
        <f aca="false">(D18+D19+D20+D21+D22+D23)*D14</f>
        <v>20.676328125</v>
      </c>
      <c r="E24" s="29" t="n">
        <f aca="false">(E18+E19+E20+E21+E22+E23)*D14</f>
        <v>1.9766015625</v>
      </c>
      <c r="F24" s="21" t="s">
        <v>90</v>
      </c>
      <c r="G24" s="21"/>
      <c r="H24" s="21"/>
      <c r="I24" s="21"/>
    </row>
    <row r="25" customFormat="false" ht="25.5" hidden="false" customHeight="true" outlineLevel="0" collapsed="false">
      <c r="A25" s="18" t="s">
        <v>91</v>
      </c>
      <c r="B25" s="18"/>
      <c r="C25" s="18"/>
      <c r="D25" s="30" t="n">
        <f aca="false">SUM(D18:D24)</f>
        <v>709.887265625</v>
      </c>
      <c r="E25" s="30" t="n">
        <f aca="false">SUM(E18:E24)</f>
        <v>67.8633203125</v>
      </c>
      <c r="F25" s="31" t="s">
        <v>92</v>
      </c>
      <c r="G25" s="31"/>
      <c r="H25" s="31"/>
      <c r="I25" s="31"/>
    </row>
  </sheetData>
  <mergeCells count="42">
    <mergeCell ref="A1:I1"/>
    <mergeCell ref="A2:I2"/>
    <mergeCell ref="A4:C4"/>
    <mergeCell ref="E4:I4"/>
    <mergeCell ref="A5:C5"/>
    <mergeCell ref="E5:I5"/>
    <mergeCell ref="A6:C6"/>
    <mergeCell ref="E6:I6"/>
    <mergeCell ref="A7:C7"/>
    <mergeCell ref="E7:I7"/>
    <mergeCell ref="A8:C8"/>
    <mergeCell ref="E8:I8"/>
    <mergeCell ref="A9:C9"/>
    <mergeCell ref="E9:I9"/>
    <mergeCell ref="A10:C10"/>
    <mergeCell ref="E10:I10"/>
    <mergeCell ref="A11:C11"/>
    <mergeCell ref="E11:I11"/>
    <mergeCell ref="A12:C12"/>
    <mergeCell ref="E12:I12"/>
    <mergeCell ref="A13:C13"/>
    <mergeCell ref="E13:I13"/>
    <mergeCell ref="A14:C14"/>
    <mergeCell ref="E14:I14"/>
    <mergeCell ref="A17:C17"/>
    <mergeCell ref="F17:I17"/>
    <mergeCell ref="A18:C18"/>
    <mergeCell ref="F18:I18"/>
    <mergeCell ref="A19:C19"/>
    <mergeCell ref="F19:I19"/>
    <mergeCell ref="A20:C20"/>
    <mergeCell ref="F20:I20"/>
    <mergeCell ref="A21:C21"/>
    <mergeCell ref="F21:I21"/>
    <mergeCell ref="A22:C22"/>
    <mergeCell ref="F22:I22"/>
    <mergeCell ref="A23:C23"/>
    <mergeCell ref="F23:I23"/>
    <mergeCell ref="A24:C24"/>
    <mergeCell ref="F24:I24"/>
    <mergeCell ref="A25:C25"/>
    <mergeCell ref="F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34"/>
  </cols>
  <sheetData>
    <row r="1" customFormat="false" ht="31.5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32" t="s">
        <v>95</v>
      </c>
      <c r="B4" s="32"/>
      <c r="C4" s="32"/>
      <c r="D4" s="32"/>
      <c r="E4" s="33" t="n">
        <f aca="false">'2. Landed Cost Model'!E25</f>
        <v>67.8633203125</v>
      </c>
    </row>
    <row r="5" customFormat="false" ht="15" hidden="false" customHeight="true" outlineLevel="0" collapsed="false">
      <c r="A5" s="32" t="s">
        <v>96</v>
      </c>
      <c r="B5" s="32"/>
      <c r="C5" s="32"/>
      <c r="D5" s="32"/>
      <c r="E5" s="25" t="n">
        <v>165</v>
      </c>
    </row>
    <row r="6" customFormat="false" ht="15" hidden="false" customHeight="true" outlineLevel="0" collapsed="false">
      <c r="A6" s="32" t="s">
        <v>97</v>
      </c>
      <c r="B6" s="32"/>
      <c r="C6" s="32"/>
      <c r="D6" s="32"/>
      <c r="E6" s="25" t="n">
        <v>18</v>
      </c>
    </row>
    <row r="9" customFormat="false" ht="27.75" hidden="false" customHeight="true" outlineLevel="0" collapsed="false">
      <c r="A9" s="27" t="s">
        <v>98</v>
      </c>
      <c r="B9" s="27" t="s">
        <v>99</v>
      </c>
      <c r="C9" s="27"/>
      <c r="D9" s="27" t="s">
        <v>100</v>
      </c>
      <c r="E9" s="27"/>
      <c r="F9" s="27" t="s">
        <v>101</v>
      </c>
      <c r="G9" s="27"/>
      <c r="H9" s="27" t="s">
        <v>29</v>
      </c>
    </row>
    <row r="10" customFormat="false" ht="19.5" hidden="false" customHeight="true" outlineLevel="0" collapsed="false">
      <c r="A10" s="34"/>
      <c r="B10" s="35" t="s">
        <v>102</v>
      </c>
      <c r="C10" s="35" t="s">
        <v>103</v>
      </c>
      <c r="D10" s="35" t="s">
        <v>102</v>
      </c>
      <c r="E10" s="35" t="s">
        <v>103</v>
      </c>
      <c r="F10" s="35" t="s">
        <v>102</v>
      </c>
      <c r="G10" s="35" t="s">
        <v>103</v>
      </c>
      <c r="H10" s="34"/>
    </row>
    <row r="11" customFormat="false" ht="21.75" hidden="false" customHeight="true" outlineLevel="0" collapsed="false">
      <c r="A11" s="19" t="s">
        <v>104</v>
      </c>
      <c r="B11" s="36" t="n">
        <v>260</v>
      </c>
      <c r="C11" s="37" t="n">
        <f aca="false">(B11-E4)/B11</f>
        <v>0.738987229567308</v>
      </c>
      <c r="D11" s="36" t="n">
        <v>220</v>
      </c>
      <c r="E11" s="37" t="n">
        <f aca="false">(D11-E4)/D11</f>
        <v>0.691530362215909</v>
      </c>
      <c r="F11" s="38" t="s">
        <v>105</v>
      </c>
      <c r="G11" s="39"/>
      <c r="H11" s="40" t="s">
        <v>106</v>
      </c>
    </row>
    <row r="12" customFormat="false" ht="21.75" hidden="false" customHeight="true" outlineLevel="0" collapsed="false">
      <c r="A12" s="19" t="s">
        <v>107</v>
      </c>
      <c r="B12" s="36" t="n">
        <v>240</v>
      </c>
      <c r="C12" s="37" t="n">
        <f aca="false">(B12-E4)/B12</f>
        <v>0.717236165364584</v>
      </c>
      <c r="D12" s="36" t="n">
        <v>200</v>
      </c>
      <c r="E12" s="37" t="n">
        <f aca="false">(D12-E4)/D12</f>
        <v>0.6606833984375</v>
      </c>
      <c r="F12" s="38" t="s">
        <v>105</v>
      </c>
      <c r="G12" s="39"/>
      <c r="H12" s="40" t="s">
        <v>106</v>
      </c>
    </row>
    <row r="13" customFormat="false" ht="21.75" hidden="false" customHeight="true" outlineLevel="0" collapsed="false">
      <c r="A13" s="19" t="s">
        <v>108</v>
      </c>
      <c r="B13" s="38" t="s">
        <v>105</v>
      </c>
      <c r="C13" s="39"/>
      <c r="D13" s="36" t="n">
        <v>180</v>
      </c>
      <c r="E13" s="37" t="n">
        <f aca="false">(D13-E4)/D13</f>
        <v>0.622981553819445</v>
      </c>
      <c r="F13" s="36" t="n">
        <v>170</v>
      </c>
      <c r="G13" s="37" t="n">
        <f aca="false">(F13-E4)/F13</f>
        <v>0.600803998161765</v>
      </c>
      <c r="H13" s="40" t="s">
        <v>106</v>
      </c>
    </row>
    <row r="14" customFormat="false" ht="21.75" hidden="false" customHeight="true" outlineLevel="0" collapsed="false">
      <c r="A14" s="19" t="s">
        <v>109</v>
      </c>
      <c r="B14" s="36" t="n">
        <v>280</v>
      </c>
      <c r="C14" s="37" t="n">
        <f aca="false">(B14-E5)/B14</f>
        <v>0.410714285714286</v>
      </c>
      <c r="D14" s="36" t="n">
        <v>240</v>
      </c>
      <c r="E14" s="37" t="n">
        <f aca="false">(D14-E5)/D14</f>
        <v>0.3125</v>
      </c>
      <c r="F14" s="36" t="n">
        <v>220</v>
      </c>
      <c r="G14" s="37" t="n">
        <f aca="false">(F14-E5)/F14</f>
        <v>0.25</v>
      </c>
      <c r="H14" s="40" t="s">
        <v>110</v>
      </c>
    </row>
    <row r="15" customFormat="false" ht="21.75" hidden="false" customHeight="true" outlineLevel="0" collapsed="false">
      <c r="A15" s="19" t="s">
        <v>111</v>
      </c>
      <c r="B15" s="36" t="n">
        <v>45</v>
      </c>
      <c r="C15" s="37" t="n">
        <f aca="false">(B15-E6)/B15</f>
        <v>0.6</v>
      </c>
      <c r="D15" s="36" t="n">
        <v>35</v>
      </c>
      <c r="E15" s="37" t="n">
        <f aca="false">(D15-E6)/D15</f>
        <v>0.485714285714286</v>
      </c>
      <c r="F15" s="36" t="n">
        <v>30</v>
      </c>
      <c r="G15" s="37" t="n">
        <f aca="false">(F15-E6)/F15</f>
        <v>0.4</v>
      </c>
      <c r="H15" s="40" t="s">
        <v>110</v>
      </c>
    </row>
    <row r="18" customFormat="false" ht="15" hidden="false" customHeight="true" outlineLevel="0" collapsed="false">
      <c r="A18" s="18" t="s">
        <v>112</v>
      </c>
      <c r="B18" s="18"/>
      <c r="C18" s="18"/>
      <c r="D18" s="18"/>
      <c r="E18" s="18"/>
      <c r="F18" s="18"/>
      <c r="G18" s="18"/>
      <c r="H18" s="18"/>
    </row>
    <row r="19" customFormat="false" ht="19.5" hidden="false" customHeight="true" outlineLevel="0" collapsed="false">
      <c r="A19" s="28" t="s">
        <v>113</v>
      </c>
      <c r="B19" s="28"/>
      <c r="C19" s="28"/>
      <c r="D19" s="28"/>
      <c r="E19" s="41" t="n">
        <f aca="false">30*180</f>
        <v>5400</v>
      </c>
      <c r="F19" s="41"/>
      <c r="G19" s="41"/>
      <c r="H19" s="41"/>
    </row>
    <row r="20" customFormat="false" ht="19.5" hidden="false" customHeight="true" outlineLevel="0" collapsed="false">
      <c r="A20" s="28" t="s">
        <v>114</v>
      </c>
      <c r="B20" s="28"/>
      <c r="C20" s="28"/>
      <c r="D20" s="28"/>
      <c r="E20" s="42" t="n">
        <f aca="false">30*E4</f>
        <v>2035.899609375</v>
      </c>
      <c r="F20" s="42"/>
      <c r="G20" s="42"/>
      <c r="H20" s="42"/>
    </row>
    <row r="21" customFormat="false" ht="19.5" hidden="false" customHeight="true" outlineLevel="0" collapsed="false">
      <c r="A21" s="28" t="s">
        <v>115</v>
      </c>
      <c r="B21" s="28"/>
      <c r="C21" s="28"/>
      <c r="D21" s="28"/>
      <c r="E21" s="43" t="n">
        <v>80</v>
      </c>
      <c r="F21" s="43"/>
      <c r="G21" s="43"/>
      <c r="H21" s="43"/>
    </row>
    <row r="22" customFormat="false" ht="19.5" hidden="false" customHeight="true" outlineLevel="0" collapsed="false">
      <c r="A22" s="19" t="s">
        <v>116</v>
      </c>
      <c r="B22" s="19"/>
      <c r="C22" s="19"/>
      <c r="D22" s="19"/>
      <c r="E22" s="44" t="n">
        <f aca="false">E19-E20-E21</f>
        <v>3284.100390625</v>
      </c>
      <c r="F22" s="44"/>
      <c r="G22" s="44"/>
      <c r="H22" s="44"/>
    </row>
    <row r="23" customFormat="false" ht="19.5" hidden="false" customHeight="true" outlineLevel="0" collapsed="false">
      <c r="A23" s="19" t="s">
        <v>117</v>
      </c>
      <c r="B23" s="19"/>
      <c r="C23" s="19"/>
      <c r="D23" s="19"/>
      <c r="E23" s="45" t="n">
        <f aca="false">E22/E19</f>
        <v>0.60816673900463</v>
      </c>
      <c r="F23" s="45"/>
      <c r="G23" s="45"/>
      <c r="H23" s="45"/>
    </row>
  </sheetData>
  <mergeCells count="16">
    <mergeCell ref="A1:L1"/>
    <mergeCell ref="A2:L2"/>
    <mergeCell ref="A4:D4"/>
    <mergeCell ref="A5:D5"/>
    <mergeCell ref="A6:D6"/>
    <mergeCell ref="A18:H18"/>
    <mergeCell ref="A19:D19"/>
    <mergeCell ref="E19:H19"/>
    <mergeCell ref="A20:D20"/>
    <mergeCell ref="E20:H20"/>
    <mergeCell ref="A21:D21"/>
    <mergeCell ref="E21:H21"/>
    <mergeCell ref="A22:D22"/>
    <mergeCell ref="E22:H22"/>
    <mergeCell ref="A23:D23"/>
    <mergeCell ref="E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28"/>
    <col collapsed="false" customWidth="true" hidden="false" outlineLevel="0" max="6" min="4" style="1" width="12"/>
    <col collapsed="false" customWidth="true" hidden="false" outlineLevel="0" max="8" min="7" style="1" width="18"/>
  </cols>
  <sheetData>
    <row r="1" customFormat="false" ht="37.5" hidden="false" customHeight="true" outlineLevel="0" collapsed="false">
      <c r="A1" s="46" t="s">
        <v>118</v>
      </c>
      <c r="B1" s="46"/>
      <c r="C1" s="46"/>
      <c r="D1" s="46"/>
      <c r="E1" s="46"/>
      <c r="F1" s="46"/>
      <c r="G1" s="46"/>
      <c r="H1" s="46"/>
    </row>
    <row r="2" customFormat="false" ht="21.75" hidden="false" customHeight="true" outlineLevel="0" collapsed="false">
      <c r="A2" s="47" t="s">
        <v>119</v>
      </c>
      <c r="B2" s="47"/>
      <c r="C2" s="47"/>
      <c r="D2" s="47"/>
      <c r="E2" s="47"/>
      <c r="F2" s="47"/>
      <c r="G2" s="47"/>
      <c r="H2" s="47"/>
    </row>
    <row r="4" customFormat="false" ht="19.5" hidden="false" customHeight="true" outlineLevel="0" collapsed="false">
      <c r="A4" s="4" t="s">
        <v>120</v>
      </c>
      <c r="B4" s="5" t="s">
        <v>121</v>
      </c>
      <c r="E4" s="4" t="s">
        <v>122</v>
      </c>
      <c r="F4" s="48" t="n">
        <f aca="true">TODAY()</f>
        <v>46178</v>
      </c>
    </row>
    <row r="5" customFormat="false" ht="19.5" hidden="false" customHeight="true" outlineLevel="0" collapsed="false">
      <c r="A5" s="4" t="s">
        <v>2</v>
      </c>
      <c r="B5" s="5"/>
      <c r="E5" s="4" t="s">
        <v>123</v>
      </c>
      <c r="F5" s="48" t="n">
        <f aca="true">TODAY()+14</f>
        <v>46192</v>
      </c>
    </row>
    <row r="6" customFormat="false" ht="19.5" hidden="false" customHeight="true" outlineLevel="0" collapsed="false">
      <c r="A6" s="4" t="s">
        <v>124</v>
      </c>
      <c r="B6" s="5"/>
      <c r="E6" s="4" t="s">
        <v>125</v>
      </c>
      <c r="F6" s="5" t="s">
        <v>99</v>
      </c>
    </row>
    <row r="7" customFormat="false" ht="19.5" hidden="false" customHeight="true" outlineLevel="0" collapsed="false">
      <c r="A7" s="4" t="s">
        <v>126</v>
      </c>
      <c r="B7" s="5"/>
      <c r="E7" s="4" t="s">
        <v>127</v>
      </c>
      <c r="F7" s="5" t="s">
        <v>128</v>
      </c>
    </row>
    <row r="8" customFormat="false" ht="19.5" hidden="false" customHeight="true" outlineLevel="0" collapsed="false">
      <c r="A8" s="4" t="s">
        <v>129</v>
      </c>
      <c r="B8" s="5"/>
      <c r="E8" s="4" t="s">
        <v>12</v>
      </c>
      <c r="F8" s="5" t="s">
        <v>130</v>
      </c>
    </row>
    <row r="11" customFormat="false" ht="25.5" hidden="false" customHeight="true" outlineLevel="0" collapsed="false">
      <c r="A11" s="27" t="s">
        <v>131</v>
      </c>
      <c r="B11" s="27" t="s">
        <v>20</v>
      </c>
      <c r="C11" s="27" t="s">
        <v>132</v>
      </c>
      <c r="D11" s="27" t="s">
        <v>22</v>
      </c>
      <c r="E11" s="27" t="s">
        <v>133</v>
      </c>
      <c r="F11" s="27" t="s">
        <v>134</v>
      </c>
      <c r="G11" s="27" t="s">
        <v>135</v>
      </c>
      <c r="H11" s="27" t="s">
        <v>136</v>
      </c>
    </row>
    <row r="12" customFormat="false" ht="21.75" hidden="false" customHeight="true" outlineLevel="0" collapsed="false">
      <c r="A12" s="49" t="n">
        <v>1</v>
      </c>
      <c r="B12" s="50"/>
      <c r="C12" s="50"/>
      <c r="D12" s="51"/>
      <c r="E12" s="51"/>
      <c r="F12" s="52" t="str">
        <f aca="false">IF(D12*E12=0,"",D12*E12)</f>
        <v/>
      </c>
      <c r="G12" s="51"/>
      <c r="H12" s="53" t="str">
        <f aca="false">IF(F12="","",IF(ISNUMBER(F12),F12*G12,""))</f>
        <v/>
      </c>
    </row>
    <row r="13" customFormat="false" ht="21.75" hidden="false" customHeight="true" outlineLevel="0" collapsed="false">
      <c r="A13" s="49" t="n">
        <v>2</v>
      </c>
      <c r="B13" s="50"/>
      <c r="C13" s="50"/>
      <c r="D13" s="51"/>
      <c r="E13" s="51"/>
      <c r="F13" s="52" t="str">
        <f aca="false">IF(D13*E13=0,"",D13*E13)</f>
        <v/>
      </c>
      <c r="G13" s="51"/>
      <c r="H13" s="53" t="str">
        <f aca="false">IF(F13="","",IF(ISNUMBER(F13),F13*G13,""))</f>
        <v/>
      </c>
    </row>
    <row r="14" customFormat="false" ht="21.75" hidden="false" customHeight="true" outlineLevel="0" collapsed="false">
      <c r="A14" s="49" t="n">
        <v>3</v>
      </c>
      <c r="B14" s="50"/>
      <c r="C14" s="50"/>
      <c r="D14" s="51"/>
      <c r="E14" s="51"/>
      <c r="F14" s="52" t="str">
        <f aca="false">IF(D14*E14=0,"",D14*E14)</f>
        <v/>
      </c>
      <c r="G14" s="51"/>
      <c r="H14" s="53" t="str">
        <f aca="false">IF(F14="","",IF(ISNUMBER(F14),F14*G14,""))</f>
        <v/>
      </c>
    </row>
    <row r="15" customFormat="false" ht="21.75" hidden="false" customHeight="true" outlineLevel="0" collapsed="false">
      <c r="A15" s="49" t="n">
        <v>4</v>
      </c>
      <c r="B15" s="50"/>
      <c r="C15" s="50"/>
      <c r="D15" s="51"/>
      <c r="E15" s="51"/>
      <c r="F15" s="52" t="str">
        <f aca="false">IF(D15*E15=0,"",D15*E15)</f>
        <v/>
      </c>
      <c r="G15" s="51"/>
      <c r="H15" s="53" t="str">
        <f aca="false">IF(F15="","",IF(ISNUMBER(F15),F15*G15,""))</f>
        <v/>
      </c>
    </row>
    <row r="16" customFormat="false" ht="21.75" hidden="false" customHeight="true" outlineLevel="0" collapsed="false">
      <c r="A16" s="49" t="n">
        <v>5</v>
      </c>
      <c r="B16" s="50"/>
      <c r="C16" s="50"/>
      <c r="D16" s="51"/>
      <c r="E16" s="51"/>
      <c r="F16" s="52" t="str">
        <f aca="false">IF(D16*E16=0,"",D16*E16)</f>
        <v/>
      </c>
      <c r="G16" s="51"/>
      <c r="H16" s="53" t="str">
        <f aca="false">IF(F16="","",IF(ISNUMBER(F16),F16*G16,""))</f>
        <v/>
      </c>
    </row>
    <row r="17" customFormat="false" ht="21.75" hidden="false" customHeight="true" outlineLevel="0" collapsed="false">
      <c r="A17" s="49" t="n">
        <v>6</v>
      </c>
      <c r="B17" s="50"/>
      <c r="C17" s="50"/>
      <c r="D17" s="51"/>
      <c r="E17" s="51"/>
      <c r="F17" s="52" t="str">
        <f aca="false">IF(D17*E17=0,"",D17*E17)</f>
        <v/>
      </c>
      <c r="G17" s="51"/>
      <c r="H17" s="53" t="str">
        <f aca="false">IF(F17="","",IF(ISNUMBER(F17),F17*G17,""))</f>
        <v/>
      </c>
    </row>
    <row r="18" customFormat="false" ht="21.75" hidden="false" customHeight="true" outlineLevel="0" collapsed="false">
      <c r="A18" s="49" t="n">
        <v>7</v>
      </c>
      <c r="B18" s="50"/>
      <c r="C18" s="50"/>
      <c r="D18" s="51"/>
      <c r="E18" s="51"/>
      <c r="F18" s="52" t="str">
        <f aca="false">IF(D18*E18=0,"",D18*E18)</f>
        <v/>
      </c>
      <c r="G18" s="51"/>
      <c r="H18" s="53" t="str">
        <f aca="false">IF(F18="","",IF(ISNUMBER(F18),F18*G18,""))</f>
        <v/>
      </c>
    </row>
    <row r="19" customFormat="false" ht="21.75" hidden="false" customHeight="true" outlineLevel="0" collapsed="false">
      <c r="A19" s="49" t="n">
        <v>8</v>
      </c>
      <c r="B19" s="50"/>
      <c r="C19" s="50"/>
      <c r="D19" s="51"/>
      <c r="E19" s="51"/>
      <c r="F19" s="52" t="str">
        <f aca="false">IF(D19*E19=0,"",D19*E19)</f>
        <v/>
      </c>
      <c r="G19" s="51"/>
      <c r="H19" s="53" t="str">
        <f aca="false">IF(F19="","",IF(ISNUMBER(F19),F19*G19,""))</f>
        <v/>
      </c>
    </row>
    <row r="20" customFormat="false" ht="15" hidden="false" customHeight="true" outlineLevel="0" collapsed="false">
      <c r="F20" s="54" t="s">
        <v>137</v>
      </c>
      <c r="G20" s="1" t="n">
        <f aca="false">SUMIF(H12:H19,"&gt;0",H12:H19)</f>
        <v>0</v>
      </c>
      <c r="H20" s="55" t="n">
        <f aca="false">IFERROR(SUMPRODUCT((H12:H19)*ISNUMBER(H12:H19)*1),0)</f>
        <v>0</v>
      </c>
    </row>
    <row r="21" customFormat="false" ht="84.75" hidden="false" customHeight="true" outlineLevel="0" collapsed="false">
      <c r="A21" s="56" t="s">
        <v>138</v>
      </c>
      <c r="B21" s="57" t="n">
        <v>1</v>
      </c>
      <c r="C21" s="58" t="s">
        <v>139</v>
      </c>
      <c r="D21" s="59" t="n">
        <v>280</v>
      </c>
      <c r="H21" s="42" t="n">
        <f aca="false">B21*D21</f>
        <v>280</v>
      </c>
    </row>
    <row r="22" customFormat="false" ht="42.75" hidden="false" customHeight="true" outlineLevel="0" collapsed="false">
      <c r="A22" s="56" t="s">
        <v>140</v>
      </c>
      <c r="B22" s="57" t="n">
        <v>1</v>
      </c>
      <c r="C22" s="58" t="s">
        <v>139</v>
      </c>
      <c r="D22" s="59" t="n">
        <v>45</v>
      </c>
      <c r="H22" s="42" t="n">
        <f aca="false">B22*D22</f>
        <v>45</v>
      </c>
    </row>
    <row r="23" customFormat="false" ht="32.25" hidden="false" customHeight="true" outlineLevel="0" collapsed="false">
      <c r="A23" s="56" t="s">
        <v>12</v>
      </c>
      <c r="H23" s="60" t="n">
        <v>0</v>
      </c>
    </row>
    <row r="25" customFormat="false" ht="30" hidden="false" customHeight="true" outlineLevel="0" collapsed="false">
      <c r="F25" s="61" t="s">
        <v>141</v>
      </c>
      <c r="G25" s="61"/>
      <c r="H25" s="62" t="n">
        <f aca="false">H20+H21+H22+H23</f>
        <v>325</v>
      </c>
    </row>
    <row r="26" customFormat="false" ht="15" hidden="false" customHeight="true" outlineLevel="0" collapsed="false">
      <c r="F26" s="58" t="s">
        <v>142</v>
      </c>
      <c r="G26" s="58"/>
      <c r="H26" s="63" t="n">
        <f aca="false">H25*0.1</f>
        <v>32.5</v>
      </c>
    </row>
    <row r="27" customFormat="false" ht="15" hidden="false" customHeight="true" outlineLevel="0" collapsed="false">
      <c r="F27" s="64" t="s">
        <v>143</v>
      </c>
      <c r="G27" s="64"/>
      <c r="H27" s="65" t="n">
        <f aca="false">H25+H26</f>
        <v>357.5</v>
      </c>
    </row>
    <row r="30" customFormat="false" ht="15" hidden="false" customHeight="true" outlineLevel="0" collapsed="false">
      <c r="A30" s="66" t="s">
        <v>144</v>
      </c>
      <c r="B30" s="66"/>
      <c r="C30" s="66"/>
      <c r="D30" s="66"/>
      <c r="E30" s="66"/>
      <c r="F30" s="66"/>
      <c r="G30" s="66"/>
      <c r="H30" s="66"/>
    </row>
    <row r="31" customFormat="false" ht="15.75" hidden="false" customHeight="true" outlineLevel="0" collapsed="false">
      <c r="A31" s="67" t="s">
        <v>145</v>
      </c>
      <c r="B31" s="67"/>
      <c r="C31" s="67"/>
      <c r="D31" s="67"/>
      <c r="E31" s="67"/>
      <c r="F31" s="67"/>
      <c r="G31" s="67"/>
      <c r="H31" s="67"/>
    </row>
    <row r="32" customFormat="false" ht="15.75" hidden="false" customHeight="true" outlineLevel="0" collapsed="false">
      <c r="A32" s="67" t="s">
        <v>146</v>
      </c>
      <c r="B32" s="67"/>
      <c r="C32" s="67"/>
      <c r="D32" s="67"/>
      <c r="E32" s="67"/>
      <c r="F32" s="67"/>
      <c r="G32" s="67"/>
      <c r="H32" s="67"/>
    </row>
    <row r="33" customFormat="false" ht="15.75" hidden="false" customHeight="true" outlineLevel="0" collapsed="false">
      <c r="A33" s="67" t="s">
        <v>147</v>
      </c>
      <c r="B33" s="67"/>
      <c r="C33" s="67"/>
      <c r="D33" s="67"/>
      <c r="E33" s="67"/>
      <c r="F33" s="67"/>
      <c r="G33" s="67"/>
      <c r="H33" s="67"/>
    </row>
    <row r="34" customFormat="false" ht="15.75" hidden="false" customHeight="true" outlineLevel="0" collapsed="false">
      <c r="A34" s="67" t="s">
        <v>148</v>
      </c>
      <c r="B34" s="67"/>
      <c r="C34" s="67"/>
      <c r="D34" s="67"/>
      <c r="E34" s="67"/>
      <c r="F34" s="67"/>
      <c r="G34" s="67"/>
      <c r="H34" s="67"/>
    </row>
    <row r="35" customFormat="false" ht="15.75" hidden="false" customHeight="true" outlineLevel="0" collapsed="false">
      <c r="A35" s="67" t="s">
        <v>149</v>
      </c>
      <c r="B35" s="67"/>
      <c r="C35" s="67"/>
      <c r="D35" s="67"/>
      <c r="E35" s="67"/>
      <c r="F35" s="67"/>
      <c r="G35" s="67"/>
      <c r="H35" s="67"/>
    </row>
    <row r="36" customFormat="false" ht="15.75" hidden="false" customHeight="true" outlineLevel="0" collapsed="false">
      <c r="A36" s="67" t="s">
        <v>150</v>
      </c>
      <c r="B36" s="67"/>
      <c r="C36" s="67"/>
      <c r="D36" s="67"/>
      <c r="E36" s="67"/>
      <c r="F36" s="67"/>
      <c r="G36" s="67"/>
      <c r="H36" s="67"/>
    </row>
    <row r="37" customFormat="false" ht="15.75" hidden="false" customHeight="true" outlineLevel="0" collapsed="false">
      <c r="A37" s="67" t="s">
        <v>151</v>
      </c>
      <c r="B37" s="67"/>
      <c r="C37" s="67"/>
      <c r="D37" s="67"/>
      <c r="E37" s="67"/>
      <c r="F37" s="67"/>
      <c r="G37" s="67"/>
      <c r="H37" s="67"/>
    </row>
  </sheetData>
  <mergeCells count="13">
    <mergeCell ref="A1:H1"/>
    <mergeCell ref="A2:H2"/>
    <mergeCell ref="F25:G25"/>
    <mergeCell ref="F26:G26"/>
    <mergeCell ref="F27:G27"/>
    <mergeCell ref="A30:H30"/>
    <mergeCell ref="A31:H31"/>
    <mergeCell ref="A32:H32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2026-06-05T03:25:42Z</dcterms:created>
  <dc:creator>openpyxl</dc:creator>
  <dc:description/>
  <dc:language>en-US</dc:language>
  <cp:lastModifiedBy/>
  <dcterms:modified xsi:type="dcterms:W3CDTF">2026-06-05T03:26:09Z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